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input\models\"/>
    </mc:Choice>
  </mc:AlternateContent>
  <xr:revisionPtr revIDLastSave="0" documentId="13_ncr:1_{AF1480BF-EB14-432D-A917-2F0F61146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C39" i="1" s="1"/>
  <c r="B20" i="1"/>
  <c r="D37" i="1" s="1"/>
  <c r="D30" i="1" l="1"/>
  <c r="D39" i="1"/>
  <c r="D41" i="1" s="1"/>
  <c r="D42" i="1" s="1"/>
  <c r="B30" i="1"/>
  <c r="C30" i="1"/>
  <c r="B39" i="1"/>
  <c r="C28" i="1"/>
  <c r="C32" i="1" s="1"/>
  <c r="C33" i="1" s="1"/>
  <c r="D28" i="1"/>
  <c r="C37" i="1"/>
  <c r="C41" i="1" s="1"/>
  <c r="C42" i="1" s="1"/>
  <c r="B28" i="1"/>
  <c r="B37" i="1"/>
  <c r="D32" i="1" l="1"/>
  <c r="D33" i="1" s="1"/>
  <c r="B41" i="1"/>
  <c r="B42" i="1" s="1"/>
  <c r="E42" i="1" s="1"/>
  <c r="B32" i="1"/>
  <c r="B33" i="1" s="1"/>
  <c r="E33" i="1" s="1"/>
</calcChain>
</file>

<file path=xl/sharedStrings.xml><?xml version="1.0" encoding="utf-8"?>
<sst xmlns="http://schemas.openxmlformats.org/spreadsheetml/2006/main" count="77" uniqueCount="51">
  <si>
    <t>provider</t>
  </si>
  <si>
    <t>model</t>
  </si>
  <si>
    <t>release-date</t>
  </si>
  <si>
    <t>openai</t>
  </si>
  <si>
    <t>gpt-4o-search-preview</t>
  </si>
  <si>
    <t>mistral</t>
  </si>
  <si>
    <t>mistral-large-2411</t>
  </si>
  <si>
    <t>gemini</t>
  </si>
  <si>
    <t>gemini-1.5-flash</t>
  </si>
  <si>
    <t>gemini-2.0-flash</t>
  </si>
  <si>
    <t>gemini-2.5-flash</t>
  </si>
  <si>
    <t>deepseek</t>
  </si>
  <si>
    <t>anthropic</t>
  </si>
  <si>
    <t>mistral-medium-2505</t>
  </si>
  <si>
    <t>input_cost/M</t>
  </si>
  <si>
    <t>output_cost/M</t>
  </si>
  <si>
    <t>mistral-small-2506</t>
  </si>
  <si>
    <t>DeepSeek-V3-0324</t>
  </si>
  <si>
    <t>claude-3-5-sonnet-20240620</t>
  </si>
  <si>
    <t>claude-sonnet-4-20250514</t>
  </si>
  <si>
    <t>claude-3-7-sonnet-20250219</t>
  </si>
  <si>
    <t>RQ1</t>
  </si>
  <si>
    <t>RQ2</t>
  </si>
  <si>
    <t>RQ3</t>
  </si>
  <si>
    <t>RQ4</t>
  </si>
  <si>
    <t>Output tokens</t>
  </si>
  <si>
    <t>Input tokens (system)</t>
  </si>
  <si>
    <t>Input tokens (user)</t>
  </si>
  <si>
    <t>--</t>
  </si>
  <si>
    <t>Total</t>
  </si>
  <si>
    <t>features</t>
  </si>
  <si>
    <t>#</t>
  </si>
  <si>
    <t>system-prompt-rq1</t>
  </si>
  <si>
    <t>user-prompt-rq1</t>
  </si>
  <si>
    <t>user-prompt-rq3</t>
  </si>
  <si>
    <t>system-prompt-rq3</t>
  </si>
  <si>
    <t>ranking-criteria</t>
  </si>
  <si>
    <t>system-prompt-output-rq1</t>
  </si>
  <si>
    <t>system-prompt-output-rq3</t>
  </si>
  <si>
    <t>ONLY REPRESENTATIVES</t>
  </si>
  <si>
    <t>ALL MODELS</t>
  </si>
  <si>
    <t>Total (€)</t>
  </si>
  <si>
    <t>#experiments-rq1</t>
  </si>
  <si>
    <t>#experiments-rq3</t>
  </si>
  <si>
    <t>runs-RQ1</t>
  </si>
  <si>
    <t>runs-RQ3</t>
  </si>
  <si>
    <t>output-rq1</t>
  </si>
  <si>
    <t>output-rq3</t>
  </si>
  <si>
    <t>web_search_cost</t>
  </si>
  <si>
    <t>perplexity</t>
  </si>
  <si>
    <t>sonar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</si>
</sst>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0" fontId="0" fillId="0" borderId="0" xfId="0" quotePrefix="1" applyFill="1"/>
    <xf numFmtId="0" fontId="16" fillId="0" borderId="0" xfId="0" applyFont="1" applyFill="1"/>
    <xf numFmtId="44" fontId="0" fillId="33" borderId="0" xfId="1" applyFont="1" applyFill="1"/>
    <xf numFmtId="44" fontId="0" fillId="0" borderId="0" xfId="1" applyFont="1" applyFill="1"/>
    <xf numFmtId="0" fontId="16" fillId="0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ill>
        <patternFill patternType="none">
          <fgColor indexed="64"/>
          <bgColor indexed="65"/>
        </patternFill>
      </fill>
    </dxf>
    <dxf>
      <numFmt numFmtId="164" formatCode="#,##0.00\ &quot;€&quot;"/>
      <fill>
        <patternFill patternType="none">
          <fgColor indexed="64"/>
          <bgColor indexed="65"/>
        </patternFill>
      </fill>
    </dxf>
    <dxf>
      <numFmt numFmtId="164" formatCode="#,##0.00\ &quot;€&quot;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3" totalsRowShown="0" headerRowDxfId="7" dataDxfId="6">
  <autoFilter ref="A1:F13" xr:uid="{00000000-0009-0000-0100-000001000000}"/>
  <tableColumns count="6">
    <tableColumn id="1" xr3:uid="{00000000-0010-0000-0000-000001000000}" name="provider" dataDxfId="5"/>
    <tableColumn id="2" xr3:uid="{00000000-0010-0000-0000-000002000000}" name="model" dataDxfId="4"/>
    <tableColumn id="3" xr3:uid="{00000000-0010-0000-0000-000003000000}" name="release-date" dataDxfId="3"/>
    <tableColumn id="4" xr3:uid="{00000000-0010-0000-0000-000004000000}" name="input_cost/M" dataDxfId="2"/>
    <tableColumn id="5" xr3:uid="{00000000-0010-0000-0000-000005000000}" name="output_cost/M" dataDxfId="1"/>
    <tableColumn id="7" xr3:uid="{00000000-0010-0000-0000-000007000000}" name="web_search_cos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Normal="100" workbookViewId="0">
      <selection activeCell="B14" sqref="B14"/>
    </sheetView>
  </sheetViews>
  <sheetFormatPr defaultColWidth="9.109375" defaultRowHeight="14.4" x14ac:dyDescent="0.3"/>
  <cols>
    <col min="1" max="1" width="31" style="4" customWidth="1"/>
    <col min="2" max="2" width="27.44140625" style="4" customWidth="1"/>
    <col min="3" max="3" width="17.88671875" style="4" customWidth="1"/>
    <col min="4" max="5" width="22.88671875" style="4" customWidth="1"/>
    <col min="6" max="6" width="17.6640625" style="4" customWidth="1"/>
    <col min="7" max="16384" width="9.109375" style="4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14</v>
      </c>
      <c r="E1" s="4" t="s">
        <v>15</v>
      </c>
      <c r="F1" s="4" t="s">
        <v>48</v>
      </c>
    </row>
    <row r="2" spans="1:6" x14ac:dyDescent="0.3">
      <c r="A2" s="4" t="s">
        <v>3</v>
      </c>
      <c r="B2" s="4" t="s">
        <v>4</v>
      </c>
      <c r="C2" s="5">
        <v>45727</v>
      </c>
      <c r="D2" s="6">
        <v>2.13</v>
      </c>
      <c r="E2" s="6">
        <v>8.5299999999999994</v>
      </c>
      <c r="F2" s="6">
        <v>2.5000000000000001E-2</v>
      </c>
    </row>
    <row r="3" spans="1:6" x14ac:dyDescent="0.3">
      <c r="A3" s="1" t="s">
        <v>5</v>
      </c>
      <c r="B3" s="1" t="s">
        <v>16</v>
      </c>
      <c r="C3" s="2">
        <v>45831</v>
      </c>
      <c r="D3" s="3">
        <v>8.5000000000000006E-2</v>
      </c>
      <c r="E3" s="3">
        <v>0.26</v>
      </c>
      <c r="F3" s="9">
        <v>0</v>
      </c>
    </row>
    <row r="4" spans="1:6" x14ac:dyDescent="0.3">
      <c r="A4" s="1" t="s">
        <v>5</v>
      </c>
      <c r="B4" s="1" t="s">
        <v>13</v>
      </c>
      <c r="C4" s="2">
        <v>45784</v>
      </c>
      <c r="D4" s="3">
        <v>0.34</v>
      </c>
      <c r="E4" s="3">
        <v>1.71</v>
      </c>
      <c r="F4" s="9">
        <v>0</v>
      </c>
    </row>
    <row r="5" spans="1:6" x14ac:dyDescent="0.3">
      <c r="A5" s="1" t="s">
        <v>5</v>
      </c>
      <c r="B5" s="1" t="s">
        <v>6</v>
      </c>
      <c r="C5" s="2">
        <v>45583</v>
      </c>
      <c r="D5" s="3">
        <v>1.71</v>
      </c>
      <c r="E5" s="3">
        <v>5.12</v>
      </c>
      <c r="F5" s="9">
        <v>0</v>
      </c>
    </row>
    <row r="6" spans="1:6" x14ac:dyDescent="0.3">
      <c r="A6" s="4" t="s">
        <v>7</v>
      </c>
      <c r="B6" s="4" t="s">
        <v>8</v>
      </c>
      <c r="C6" s="5">
        <v>45536</v>
      </c>
      <c r="D6" s="6">
        <v>6.4000000000000001E-2</v>
      </c>
      <c r="E6" s="6">
        <v>0.13</v>
      </c>
      <c r="F6" s="10">
        <v>0</v>
      </c>
    </row>
    <row r="7" spans="1:6" x14ac:dyDescent="0.3">
      <c r="A7" s="4" t="s">
        <v>7</v>
      </c>
      <c r="B7" s="4" t="s">
        <v>9</v>
      </c>
      <c r="C7" s="5">
        <v>45689</v>
      </c>
      <c r="D7" s="6">
        <v>8.5000000000000006E-2</v>
      </c>
      <c r="E7" s="6">
        <v>0.34</v>
      </c>
      <c r="F7" s="10">
        <v>0</v>
      </c>
    </row>
    <row r="8" spans="1:6" x14ac:dyDescent="0.3">
      <c r="A8" s="4" t="s">
        <v>7</v>
      </c>
      <c r="B8" s="4" t="s">
        <v>10</v>
      </c>
      <c r="C8" s="5">
        <v>45809</v>
      </c>
      <c r="D8" s="6">
        <v>0.26</v>
      </c>
      <c r="E8" s="6">
        <v>2.13</v>
      </c>
      <c r="F8" s="10">
        <v>0</v>
      </c>
    </row>
    <row r="9" spans="1:6" x14ac:dyDescent="0.3">
      <c r="A9" s="1" t="s">
        <v>11</v>
      </c>
      <c r="B9" s="1" t="s">
        <v>17</v>
      </c>
      <c r="C9" s="2">
        <v>45741</v>
      </c>
      <c r="D9" s="3">
        <v>0.23</v>
      </c>
      <c r="E9" s="3">
        <v>0.94</v>
      </c>
      <c r="F9" s="9">
        <v>0</v>
      </c>
    </row>
    <row r="10" spans="1:6" x14ac:dyDescent="0.3">
      <c r="A10" s="4" t="s">
        <v>12</v>
      </c>
      <c r="B10" s="4" t="s">
        <v>18</v>
      </c>
      <c r="C10" s="5">
        <v>45463</v>
      </c>
      <c r="D10" s="6">
        <v>2.56</v>
      </c>
      <c r="E10" s="6">
        <v>12.8</v>
      </c>
      <c r="F10" s="10">
        <v>0.01</v>
      </c>
    </row>
    <row r="11" spans="1:6" x14ac:dyDescent="0.3">
      <c r="A11" s="4" t="s">
        <v>12</v>
      </c>
      <c r="B11" s="4" t="s">
        <v>20</v>
      </c>
      <c r="C11" s="5">
        <v>45707</v>
      </c>
      <c r="D11" s="6">
        <v>2.56</v>
      </c>
      <c r="E11" s="6">
        <v>12.8</v>
      </c>
      <c r="F11" s="10">
        <v>0.01</v>
      </c>
    </row>
    <row r="12" spans="1:6" x14ac:dyDescent="0.3">
      <c r="A12" s="4" t="s">
        <v>12</v>
      </c>
      <c r="B12" s="4" t="s">
        <v>19</v>
      </c>
      <c r="C12" s="5">
        <v>45791</v>
      </c>
      <c r="D12" s="6">
        <v>2.56</v>
      </c>
      <c r="E12" s="6">
        <v>12.8</v>
      </c>
      <c r="F12" s="10">
        <v>0.01</v>
      </c>
    </row>
    <row r="13" spans="1:6" x14ac:dyDescent="0.3">
      <c r="A13" s="1" t="s">
        <v>49</v>
      </c>
      <c r="B13" s="1" t="s">
        <v>50</v>
      </c>
      <c r="C13" s="2"/>
      <c r="D13" s="3"/>
      <c r="E13" s="3"/>
      <c r="F13" s="9"/>
    </row>
    <row r="15" spans="1:6" x14ac:dyDescent="0.3">
      <c r="A15"/>
      <c r="B15" t="s">
        <v>31</v>
      </c>
      <c r="C15"/>
      <c r="D15"/>
      <c r="E15"/>
    </row>
    <row r="16" spans="1:6" x14ac:dyDescent="0.3">
      <c r="A16" t="s">
        <v>30</v>
      </c>
      <c r="B16">
        <v>16</v>
      </c>
      <c r="C16"/>
      <c r="D16" t="s">
        <v>32</v>
      </c>
      <c r="E16">
        <v>70</v>
      </c>
    </row>
    <row r="17" spans="1:5" x14ac:dyDescent="0.3">
      <c r="A17" t="s">
        <v>44</v>
      </c>
      <c r="B17">
        <v>10</v>
      </c>
      <c r="C17"/>
      <c r="D17" t="s">
        <v>33</v>
      </c>
      <c r="E17">
        <v>15</v>
      </c>
    </row>
    <row r="18" spans="1:5" x14ac:dyDescent="0.3">
      <c r="A18" t="s">
        <v>36</v>
      </c>
      <c r="B18">
        <v>20</v>
      </c>
      <c r="C18"/>
      <c r="D18" t="s">
        <v>37</v>
      </c>
      <c r="E18">
        <v>250</v>
      </c>
    </row>
    <row r="19" spans="1:5" x14ac:dyDescent="0.3">
      <c r="A19" s="4" t="s">
        <v>45</v>
      </c>
      <c r="B19" s="4">
        <v>3</v>
      </c>
      <c r="C19"/>
      <c r="D19" t="s">
        <v>35</v>
      </c>
      <c r="E19">
        <v>70</v>
      </c>
    </row>
    <row r="20" spans="1:5" x14ac:dyDescent="0.3">
      <c r="A20" t="s">
        <v>42</v>
      </c>
      <c r="B20">
        <f>B16*B17</f>
        <v>160</v>
      </c>
      <c r="C20"/>
      <c r="D20" t="s">
        <v>34</v>
      </c>
      <c r="E20">
        <v>50</v>
      </c>
    </row>
    <row r="21" spans="1:5" x14ac:dyDescent="0.3">
      <c r="A21" s="4" t="s">
        <v>43</v>
      </c>
      <c r="B21" s="4">
        <f>B16*B18*B19</f>
        <v>960</v>
      </c>
      <c r="C21"/>
      <c r="D21" t="s">
        <v>38</v>
      </c>
      <c r="E21">
        <v>120</v>
      </c>
    </row>
    <row r="22" spans="1:5" x14ac:dyDescent="0.3">
      <c r="C22"/>
      <c r="D22" t="s">
        <v>46</v>
      </c>
      <c r="E22">
        <v>450</v>
      </c>
    </row>
    <row r="23" spans="1:5" x14ac:dyDescent="0.3">
      <c r="C23"/>
      <c r="D23" t="s">
        <v>47</v>
      </c>
      <c r="E23">
        <v>150</v>
      </c>
    </row>
    <row r="24" spans="1:5" customFormat="1" x14ac:dyDescent="0.3">
      <c r="A24" s="4"/>
      <c r="B24" s="4"/>
    </row>
    <row r="25" spans="1:5" x14ac:dyDescent="0.3">
      <c r="A25"/>
      <c r="B25"/>
      <c r="C25"/>
      <c r="D25"/>
      <c r="E25"/>
    </row>
    <row r="26" spans="1:5" x14ac:dyDescent="0.3">
      <c r="A26" s="11" t="s">
        <v>39</v>
      </c>
      <c r="B26" s="11"/>
      <c r="C26" s="11"/>
      <c r="D26" s="11"/>
      <c r="E26" s="11"/>
    </row>
    <row r="27" spans="1:5" x14ac:dyDescent="0.3">
      <c r="A27" s="8"/>
      <c r="B27" s="8" t="s">
        <v>26</v>
      </c>
      <c r="C27" s="8" t="s">
        <v>27</v>
      </c>
      <c r="D27" s="8" t="s">
        <v>25</v>
      </c>
      <c r="E27" s="8"/>
    </row>
    <row r="28" spans="1:5" x14ac:dyDescent="0.3">
      <c r="A28" s="8" t="s">
        <v>21</v>
      </c>
      <c r="B28" s="4">
        <f>B$20*(E$16+4*E$18)</f>
        <v>171200</v>
      </c>
      <c r="C28" s="4">
        <f>B$20*(5*E$17)</f>
        <v>12000</v>
      </c>
      <c r="D28" s="4">
        <f>B$20*E$22*5</f>
        <v>360000</v>
      </c>
    </row>
    <row r="29" spans="1:5" x14ac:dyDescent="0.3">
      <c r="A29" s="8" t="s">
        <v>22</v>
      </c>
      <c r="B29" s="7" t="s">
        <v>28</v>
      </c>
      <c r="C29" s="7" t="s">
        <v>28</v>
      </c>
      <c r="D29" s="7" t="s">
        <v>28</v>
      </c>
      <c r="E29" s="7"/>
    </row>
    <row r="30" spans="1:5" x14ac:dyDescent="0.3">
      <c r="A30" s="8" t="s">
        <v>23</v>
      </c>
      <c r="B30" s="4">
        <f>B$21*(E$19+4*E$21)</f>
        <v>528000</v>
      </c>
      <c r="C30" s="4">
        <f>B$21*(5*E$20)</f>
        <v>240000</v>
      </c>
      <c r="D30" s="4">
        <f>B$21*5*E$23</f>
        <v>720000</v>
      </c>
    </row>
    <row r="31" spans="1:5" x14ac:dyDescent="0.3">
      <c r="A31" s="8" t="s">
        <v>24</v>
      </c>
      <c r="B31" s="7" t="s">
        <v>28</v>
      </c>
      <c r="C31" s="7" t="s">
        <v>28</v>
      </c>
      <c r="D31" s="7" t="s">
        <v>28</v>
      </c>
      <c r="E31" s="7"/>
    </row>
    <row r="32" spans="1:5" x14ac:dyDescent="0.3">
      <c r="A32" s="8" t="s">
        <v>29</v>
      </c>
      <c r="B32" s="4">
        <f>SUM(B$28:B$31)</f>
        <v>699200</v>
      </c>
      <c r="C32" s="4">
        <f>SUM(C$28:C$31)</f>
        <v>252000</v>
      </c>
      <c r="D32" s="4">
        <f>SUM(D28:D31)</f>
        <v>1080000</v>
      </c>
    </row>
    <row r="33" spans="1:5" x14ac:dyDescent="0.3">
      <c r="A33" s="8" t="s">
        <v>41</v>
      </c>
      <c r="B33" s="6">
        <f>AVERAGE($D$2,$D$5,$D$8,$D$9,$D$12)*$B$32/1000000</f>
        <v>0.96349760000000007</v>
      </c>
      <c r="C33" s="6">
        <f>AVERAGE($D$2,$D$5,$D$8,$D$9,$D$12)*C$32/1000000</f>
        <v>0.34725600000000001</v>
      </c>
      <c r="D33" s="6">
        <f>AVERAGE($E$2,$E$5,$E$8,$E$9,$E$12)*D$32/1000000</f>
        <v>6.3763199999999998</v>
      </c>
      <c r="E33" s="6">
        <f>SUM(B33,C33,D33)+F2*B20+F2*B21+F12*B20+F12*B21</f>
        <v>46.887073600000001</v>
      </c>
    </row>
    <row r="35" spans="1:5" x14ac:dyDescent="0.3">
      <c r="A35" s="11" t="s">
        <v>40</v>
      </c>
      <c r="B35" s="11"/>
      <c r="C35" s="11"/>
      <c r="D35" s="11"/>
      <c r="E35" s="11"/>
    </row>
    <row r="36" spans="1:5" x14ac:dyDescent="0.3">
      <c r="A36" s="8"/>
      <c r="B36" s="8" t="s">
        <v>26</v>
      </c>
      <c r="C36" s="8" t="s">
        <v>27</v>
      </c>
      <c r="D36" s="8" t="s">
        <v>25</v>
      </c>
      <c r="E36" s="8"/>
    </row>
    <row r="37" spans="1:5" x14ac:dyDescent="0.3">
      <c r="A37" s="8" t="s">
        <v>21</v>
      </c>
      <c r="B37" s="4">
        <f>B$20*(E$16+10*E$18)</f>
        <v>411200</v>
      </c>
      <c r="C37" s="4">
        <f>B$20*(11*E$17)</f>
        <v>26400</v>
      </c>
      <c r="D37" s="4">
        <f>B$20*E$22*11</f>
        <v>792000</v>
      </c>
    </row>
    <row r="38" spans="1:5" x14ac:dyDescent="0.3">
      <c r="A38" s="8" t="s">
        <v>22</v>
      </c>
      <c r="B38" s="7" t="s">
        <v>28</v>
      </c>
      <c r="C38" s="7" t="s">
        <v>28</v>
      </c>
      <c r="D38" s="7" t="s">
        <v>28</v>
      </c>
      <c r="E38" s="7"/>
    </row>
    <row r="39" spans="1:5" x14ac:dyDescent="0.3">
      <c r="A39" s="8" t="s">
        <v>23</v>
      </c>
      <c r="B39" s="4">
        <f>B$21*(E$19+10*E$21)</f>
        <v>1219200</v>
      </c>
      <c r="C39" s="4">
        <f>B$21*(11*E$20)</f>
        <v>528000</v>
      </c>
      <c r="D39" s="4">
        <f>B$21*11*E$23</f>
        <v>1584000</v>
      </c>
    </row>
    <row r="40" spans="1:5" x14ac:dyDescent="0.3">
      <c r="A40" s="8" t="s">
        <v>24</v>
      </c>
      <c r="B40" s="7" t="s">
        <v>28</v>
      </c>
      <c r="C40" s="7" t="s">
        <v>28</v>
      </c>
      <c r="D40" s="7" t="s">
        <v>28</v>
      </c>
      <c r="E40" s="7"/>
    </row>
    <row r="41" spans="1:5" x14ac:dyDescent="0.3">
      <c r="A41" s="8" t="s">
        <v>29</v>
      </c>
      <c r="B41" s="4">
        <f>SUM(B37:B40)</f>
        <v>1630400</v>
      </c>
      <c r="C41" s="4">
        <f>SUM(C37:C40)</f>
        <v>554400</v>
      </c>
      <c r="D41" s="4">
        <f>SUM(D37:D40)</f>
        <v>2376000</v>
      </c>
    </row>
    <row r="42" spans="1:5" x14ac:dyDescent="0.3">
      <c r="A42" s="8" t="s">
        <v>41</v>
      </c>
      <c r="B42" s="6">
        <f>AVERAGE($D$2,$D$5,$D$8,$D$9,$D$12)*$B$41/1000000</f>
        <v>2.2466912000000003</v>
      </c>
      <c r="C42" s="6">
        <f>AVERAGE($D$2,$D$5,$D$8,$D$9,$D$12)*C$41/1000000</f>
        <v>0.76396320000000006</v>
      </c>
      <c r="D42" s="6">
        <f>AVERAGE($E$2,$E$5,$E$8,$E$9,$E$12)*D$41/1000000</f>
        <v>14.027903999999999</v>
      </c>
      <c r="E42" s="6">
        <f>SUM(B42,C42,D42)+F2*B20+F12*B20*3+F2*B21+F12*B21*3</f>
        <v>78.638558399999994</v>
      </c>
    </row>
  </sheetData>
  <mergeCells count="2">
    <mergeCell ref="A26:E26"/>
    <mergeCell ref="A35:E35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</dc:creator>
  <cp:lastModifiedBy>Troy MClur</cp:lastModifiedBy>
  <dcterms:created xsi:type="dcterms:W3CDTF">2025-06-27T10:52:23Z</dcterms:created>
  <dcterms:modified xsi:type="dcterms:W3CDTF">2025-07-01T14:57:16Z</dcterms:modified>
</cp:coreProperties>
</file>